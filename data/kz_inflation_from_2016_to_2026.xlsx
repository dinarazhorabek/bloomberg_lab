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D7CD4DB8-E9CE-438A-B514-B50D11CEAF2B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1" i="2" l="1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<sst xmlns="http://schemas.openxmlformats.org/spreadsheetml/2006/main" count="2" uniqueCount="2">
  <si>
    <t>Date</t>
  </si>
  <si>
    <t>CPI_YoY_Kazakhstan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</si>
</sst>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activeCell="D9" sqref="D9"/>
    </sheetView>
  </sheetViews>
  <sheetFormatPr defaultRowHeight="14.25" x14ac:dyDescent="0.45"/>
  <cols>
    <col min="1" max="1" width="16" bestFit="1" customWidth="1"/>
    <col min="2" max="2" width="16.86328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46081</v>
      </c>
      <c r="B2">
        <f>11.7</f>
        <v>11.7</v>
      </c>
    </row>
    <row r="3" spans="1:2" x14ac:dyDescent="0.45">
      <c r="A3" s="1">
        <v>46053</v>
      </c>
      <c r="B3">
        <f>12.2</f>
        <v>12.2</v>
      </c>
    </row>
    <row r="4" spans="1:2" x14ac:dyDescent="0.45">
      <c r="A4" s="1">
        <v>46022</v>
      </c>
      <c r="B4">
        <f>12.3</f>
        <v>12.3</v>
      </c>
    </row>
    <row r="5" spans="1:2" x14ac:dyDescent="0.45">
      <c r="A5" s="1">
        <v>45991</v>
      </c>
      <c r="B5">
        <f>12.4</f>
        <v>12.4</v>
      </c>
    </row>
    <row r="6" spans="1:2" x14ac:dyDescent="0.45">
      <c r="A6" s="1">
        <v>45961</v>
      </c>
      <c r="B6">
        <f>12.6</f>
        <v>12.6</v>
      </c>
    </row>
    <row r="7" spans="1:2" x14ac:dyDescent="0.45">
      <c r="A7" s="1">
        <v>45930</v>
      </c>
      <c r="B7">
        <f>12.9</f>
        <v>12.9</v>
      </c>
    </row>
    <row r="8" spans="1:2" x14ac:dyDescent="0.45">
      <c r="A8" s="1">
        <v>45900</v>
      </c>
      <c r="B8">
        <f>12.2</f>
        <v>12.2</v>
      </c>
    </row>
    <row r="9" spans="1:2" x14ac:dyDescent="0.45">
      <c r="A9" s="1">
        <v>45869</v>
      </c>
      <c r="B9">
        <f>11.8</f>
        <v>11.8</v>
      </c>
    </row>
    <row r="10" spans="1:2" x14ac:dyDescent="0.45">
      <c r="A10" s="1">
        <v>45838</v>
      </c>
      <c r="B10">
        <f>11.8</f>
        <v>11.8</v>
      </c>
    </row>
    <row r="11" spans="1:2" x14ac:dyDescent="0.45">
      <c r="A11" s="1">
        <v>45808</v>
      </c>
      <c r="B11">
        <f>11.3</f>
        <v>11.3</v>
      </c>
    </row>
    <row r="12" spans="1:2" x14ac:dyDescent="0.45">
      <c r="A12" s="1">
        <v>45777</v>
      </c>
      <c r="B12">
        <f>10.7</f>
        <v>10.7</v>
      </c>
    </row>
    <row r="13" spans="1:2" x14ac:dyDescent="0.45">
      <c r="A13" s="1">
        <v>45747</v>
      </c>
      <c r="B13">
        <f>10</f>
        <v>10</v>
      </c>
    </row>
    <row r="14" spans="1:2" x14ac:dyDescent="0.45">
      <c r="A14" s="1">
        <v>45716</v>
      </c>
      <c r="B14">
        <f>9.4</f>
        <v>9.4</v>
      </c>
    </row>
    <row r="15" spans="1:2" x14ac:dyDescent="0.45">
      <c r="A15" s="1">
        <v>45688</v>
      </c>
      <c r="B15">
        <f>8.9</f>
        <v>8.9</v>
      </c>
    </row>
    <row r="16" spans="1:2" x14ac:dyDescent="0.45">
      <c r="A16" s="1">
        <v>45657</v>
      </c>
      <c r="B16">
        <f>8.6</f>
        <v>8.6</v>
      </c>
    </row>
    <row r="17" spans="1:2" x14ac:dyDescent="0.45">
      <c r="A17" s="1">
        <v>45626</v>
      </c>
      <c r="B17">
        <f>8.4</f>
        <v>8.4</v>
      </c>
    </row>
    <row r="18" spans="1:2" x14ac:dyDescent="0.45">
      <c r="A18" s="1">
        <v>45596</v>
      </c>
      <c r="B18">
        <f>8.5</f>
        <v>8.5</v>
      </c>
    </row>
    <row r="19" spans="1:2" x14ac:dyDescent="0.45">
      <c r="A19" s="1">
        <v>45565</v>
      </c>
      <c r="B19">
        <f>8.3</f>
        <v>8.3000000000000007</v>
      </c>
    </row>
    <row r="20" spans="1:2" x14ac:dyDescent="0.45">
      <c r="A20" s="1">
        <v>45535</v>
      </c>
      <c r="B20">
        <f>8.4</f>
        <v>8.4</v>
      </c>
    </row>
    <row r="21" spans="1:2" x14ac:dyDescent="0.45">
      <c r="A21" s="1">
        <v>45504</v>
      </c>
      <c r="B21">
        <f>8.6</f>
        <v>8.6</v>
      </c>
    </row>
    <row r="22" spans="1:2" x14ac:dyDescent="0.45">
      <c r="A22" s="1">
        <v>45473</v>
      </c>
      <c r="B22">
        <f>8.4</f>
        <v>8.4</v>
      </c>
    </row>
    <row r="23" spans="1:2" x14ac:dyDescent="0.45">
      <c r="A23" s="1">
        <v>45443</v>
      </c>
      <c r="B23">
        <f>8.5</f>
        <v>8.5</v>
      </c>
    </row>
    <row r="24" spans="1:2" x14ac:dyDescent="0.45">
      <c r="A24" s="1">
        <v>45412</v>
      </c>
      <c r="B24">
        <f>8.7</f>
        <v>8.6999999999999993</v>
      </c>
    </row>
    <row r="25" spans="1:2" x14ac:dyDescent="0.45">
      <c r="A25" s="1">
        <v>45382</v>
      </c>
      <c r="B25">
        <f>9.1</f>
        <v>9.1</v>
      </c>
    </row>
    <row r="26" spans="1:2" x14ac:dyDescent="0.45">
      <c r="A26" s="1">
        <v>45351</v>
      </c>
      <c r="B26">
        <f>9.3</f>
        <v>9.3000000000000007</v>
      </c>
    </row>
    <row r="27" spans="1:2" x14ac:dyDescent="0.45">
      <c r="A27" s="1">
        <v>45322</v>
      </c>
      <c r="B27">
        <f>9.5</f>
        <v>9.5</v>
      </c>
    </row>
    <row r="28" spans="1:2" x14ac:dyDescent="0.45">
      <c r="A28" s="1">
        <v>45291</v>
      </c>
      <c r="B28">
        <f>9.8</f>
        <v>9.8000000000000007</v>
      </c>
    </row>
    <row r="29" spans="1:2" x14ac:dyDescent="0.45">
      <c r="A29" s="1">
        <v>45260</v>
      </c>
      <c r="B29">
        <f>10.3</f>
        <v>10.3</v>
      </c>
    </row>
    <row r="30" spans="1:2" x14ac:dyDescent="0.45">
      <c r="A30" s="1">
        <v>45230</v>
      </c>
      <c r="B30">
        <f>10.8</f>
        <v>10.8</v>
      </c>
    </row>
    <row r="31" spans="1:2" x14ac:dyDescent="0.45">
      <c r="A31" s="1">
        <v>45199</v>
      </c>
      <c r="B31">
        <f>11.8</f>
        <v>11.8</v>
      </c>
    </row>
    <row r="32" spans="1:2" x14ac:dyDescent="0.45">
      <c r="A32" s="1">
        <v>45169</v>
      </c>
      <c r="B32">
        <f>13.1</f>
        <v>13.1</v>
      </c>
    </row>
    <row r="33" spans="1:2" x14ac:dyDescent="0.45">
      <c r="A33" s="1">
        <v>45138</v>
      </c>
      <c r="B33">
        <f>14</f>
        <v>14</v>
      </c>
    </row>
    <row r="34" spans="1:2" x14ac:dyDescent="0.45">
      <c r="A34" s="1">
        <v>45107</v>
      </c>
      <c r="B34">
        <f>14.6</f>
        <v>14.6</v>
      </c>
    </row>
    <row r="35" spans="1:2" x14ac:dyDescent="0.45">
      <c r="A35" s="1">
        <v>45077</v>
      </c>
      <c r="B35">
        <f>15.9</f>
        <v>15.9</v>
      </c>
    </row>
    <row r="36" spans="1:2" x14ac:dyDescent="0.45">
      <c r="A36" s="1">
        <v>45046</v>
      </c>
      <c r="B36">
        <f>16.8</f>
        <v>16.8</v>
      </c>
    </row>
    <row r="37" spans="1:2" x14ac:dyDescent="0.45">
      <c r="A37" s="1">
        <v>45016</v>
      </c>
      <c r="B37">
        <f>18.1</f>
        <v>18.100000000000001</v>
      </c>
    </row>
    <row r="38" spans="1:2" x14ac:dyDescent="0.45">
      <c r="A38" s="1">
        <v>44985</v>
      </c>
      <c r="B38">
        <f>21.3</f>
        <v>21.3</v>
      </c>
    </row>
    <row r="39" spans="1:2" x14ac:dyDescent="0.45">
      <c r="A39" s="1">
        <v>44957</v>
      </c>
      <c r="B39">
        <f>20.7</f>
        <v>20.7</v>
      </c>
    </row>
    <row r="40" spans="1:2" x14ac:dyDescent="0.45">
      <c r="A40" s="1">
        <v>44926</v>
      </c>
      <c r="B40">
        <f>20.3</f>
        <v>20.3</v>
      </c>
    </row>
    <row r="41" spans="1:2" x14ac:dyDescent="0.45">
      <c r="A41" s="1">
        <v>44895</v>
      </c>
      <c r="B41">
        <f>19.6</f>
        <v>19.600000000000001</v>
      </c>
    </row>
    <row r="42" spans="1:2" x14ac:dyDescent="0.45">
      <c r="A42" s="1">
        <v>44865</v>
      </c>
      <c r="B42">
        <f>18.8</f>
        <v>18.8</v>
      </c>
    </row>
    <row r="43" spans="1:2" x14ac:dyDescent="0.45">
      <c r="A43" s="1">
        <v>44834</v>
      </c>
      <c r="B43">
        <f>17.7</f>
        <v>17.7</v>
      </c>
    </row>
    <row r="44" spans="1:2" x14ac:dyDescent="0.45">
      <c r="A44" s="1">
        <v>44804</v>
      </c>
      <c r="B44">
        <f>16.1</f>
        <v>16.100000000000001</v>
      </c>
    </row>
    <row r="45" spans="1:2" x14ac:dyDescent="0.45">
      <c r="A45" s="1">
        <v>44773</v>
      </c>
      <c r="B45">
        <f>15</f>
        <v>15</v>
      </c>
    </row>
    <row r="46" spans="1:2" x14ac:dyDescent="0.45">
      <c r="A46" s="1">
        <v>44742</v>
      </c>
      <c r="B46">
        <f>14.5</f>
        <v>14.5</v>
      </c>
    </row>
    <row r="47" spans="1:2" x14ac:dyDescent="0.45">
      <c r="A47" s="1">
        <v>44712</v>
      </c>
      <c r="B47">
        <f>14</f>
        <v>14</v>
      </c>
    </row>
    <row r="48" spans="1:2" x14ac:dyDescent="0.45">
      <c r="A48" s="1">
        <v>44681</v>
      </c>
      <c r="B48">
        <f>13.2</f>
        <v>13.2</v>
      </c>
    </row>
    <row r="49" spans="1:2" x14ac:dyDescent="0.45">
      <c r="A49" s="1">
        <v>44651</v>
      </c>
      <c r="B49">
        <f>12</f>
        <v>12</v>
      </c>
    </row>
    <row r="50" spans="1:2" x14ac:dyDescent="0.45">
      <c r="A50" s="1">
        <v>44620</v>
      </c>
      <c r="B50">
        <f>8.7</f>
        <v>8.6999999999999993</v>
      </c>
    </row>
    <row r="51" spans="1:2" x14ac:dyDescent="0.45">
      <c r="A51" s="1">
        <v>44592</v>
      </c>
      <c r="B51">
        <f>9.2</f>
        <v>9.1999999999999993</v>
      </c>
    </row>
    <row r="52" spans="1:2" x14ac:dyDescent="0.45">
      <c r="A52" s="1">
        <v>44561</v>
      </c>
      <c r="B52">
        <f>8.4</f>
        <v>8.4</v>
      </c>
    </row>
    <row r="53" spans="1:2" x14ac:dyDescent="0.45">
      <c r="A53" s="1">
        <v>44530</v>
      </c>
      <c r="B53">
        <f>8.7</f>
        <v>8.6999999999999993</v>
      </c>
    </row>
    <row r="54" spans="1:2" x14ac:dyDescent="0.45">
      <c r="A54" s="1">
        <v>44500</v>
      </c>
      <c r="B54">
        <f>8.9</f>
        <v>8.9</v>
      </c>
    </row>
    <row r="55" spans="1:2" x14ac:dyDescent="0.45">
      <c r="A55" s="1">
        <v>44469</v>
      </c>
      <c r="B55">
        <f>8.9</f>
        <v>8.9</v>
      </c>
    </row>
    <row r="56" spans="1:2" x14ac:dyDescent="0.45">
      <c r="A56" s="1">
        <v>44439</v>
      </c>
      <c r="B56">
        <f>8.7</f>
        <v>8.6999999999999993</v>
      </c>
    </row>
    <row r="57" spans="1:2" x14ac:dyDescent="0.45">
      <c r="A57" s="1">
        <v>44408</v>
      </c>
      <c r="B57">
        <f>8.4</f>
        <v>8.4</v>
      </c>
    </row>
    <row r="58" spans="1:2" x14ac:dyDescent="0.45">
      <c r="A58" s="1">
        <v>44377</v>
      </c>
      <c r="B58">
        <f>7.9</f>
        <v>7.9</v>
      </c>
    </row>
    <row r="59" spans="1:2" x14ac:dyDescent="0.45">
      <c r="A59" s="1">
        <v>44347</v>
      </c>
      <c r="B59">
        <f>7.2</f>
        <v>7.2</v>
      </c>
    </row>
    <row r="60" spans="1:2" x14ac:dyDescent="0.45">
      <c r="A60" s="1">
        <v>44316</v>
      </c>
      <c r="B60">
        <f>7</f>
        <v>7</v>
      </c>
    </row>
    <row r="61" spans="1:2" x14ac:dyDescent="0.45">
      <c r="A61" s="1">
        <v>44286</v>
      </c>
      <c r="B61">
        <f>7</f>
        <v>7</v>
      </c>
    </row>
    <row r="62" spans="1:2" x14ac:dyDescent="0.45">
      <c r="A62" s="1">
        <v>44255</v>
      </c>
      <c r="B62">
        <f>7.4</f>
        <v>7.4</v>
      </c>
    </row>
    <row r="63" spans="1:2" x14ac:dyDescent="0.45">
      <c r="A63" s="1">
        <v>44227</v>
      </c>
      <c r="B63">
        <f>7.4</f>
        <v>7.4</v>
      </c>
    </row>
    <row r="64" spans="1:2" x14ac:dyDescent="0.45">
      <c r="A64" s="1">
        <v>44196</v>
      </c>
      <c r="B64">
        <f>7.5</f>
        <v>7.5</v>
      </c>
    </row>
    <row r="65" spans="1:2" x14ac:dyDescent="0.45">
      <c r="A65" s="1">
        <v>44165</v>
      </c>
      <c r="B65">
        <f>7.3</f>
        <v>7.3</v>
      </c>
    </row>
    <row r="66" spans="1:2" x14ac:dyDescent="0.45">
      <c r="A66" s="1">
        <v>44135</v>
      </c>
      <c r="B66">
        <f>7.1</f>
        <v>7.1</v>
      </c>
    </row>
    <row r="67" spans="1:2" x14ac:dyDescent="0.45">
      <c r="A67" s="1">
        <v>44104</v>
      </c>
      <c r="B67">
        <f>7</f>
        <v>7</v>
      </c>
    </row>
    <row r="68" spans="1:2" x14ac:dyDescent="0.45">
      <c r="A68" s="1">
        <v>44074</v>
      </c>
      <c r="B68">
        <f>7</f>
        <v>7</v>
      </c>
    </row>
    <row r="69" spans="1:2" x14ac:dyDescent="0.45">
      <c r="A69" s="1">
        <v>44043</v>
      </c>
      <c r="B69">
        <f>7.1</f>
        <v>7.1</v>
      </c>
    </row>
    <row r="70" spans="1:2" x14ac:dyDescent="0.45">
      <c r="A70" s="1">
        <v>44012</v>
      </c>
      <c r="B70">
        <f>7</f>
        <v>7</v>
      </c>
    </row>
    <row r="71" spans="1:2" x14ac:dyDescent="0.45">
      <c r="A71" s="1">
        <v>43982</v>
      </c>
      <c r="B71">
        <f>6.7</f>
        <v>6.7</v>
      </c>
    </row>
    <row r="72" spans="1:2" x14ac:dyDescent="0.45">
      <c r="A72" s="1">
        <v>43951</v>
      </c>
      <c r="B72">
        <f>6.8</f>
        <v>6.8</v>
      </c>
    </row>
    <row r="73" spans="1:2" x14ac:dyDescent="0.45">
      <c r="A73" s="1">
        <v>43921</v>
      </c>
      <c r="B73">
        <f>6.4</f>
        <v>6.4</v>
      </c>
    </row>
    <row r="74" spans="1:2" x14ac:dyDescent="0.45">
      <c r="A74" s="1">
        <v>43890</v>
      </c>
      <c r="B74">
        <f>6</f>
        <v>6</v>
      </c>
    </row>
    <row r="75" spans="1:2" x14ac:dyDescent="0.45">
      <c r="A75" s="1">
        <v>43861</v>
      </c>
      <c r="B75">
        <f>5.6</f>
        <v>5.6</v>
      </c>
    </row>
    <row r="76" spans="1:2" x14ac:dyDescent="0.45">
      <c r="A76" s="1">
        <v>43830</v>
      </c>
      <c r="B76">
        <f>5.4</f>
        <v>5.4</v>
      </c>
    </row>
    <row r="77" spans="1:2" x14ac:dyDescent="0.45">
      <c r="A77" s="1">
        <v>43799</v>
      </c>
      <c r="B77">
        <f>5.4</f>
        <v>5.4</v>
      </c>
    </row>
    <row r="78" spans="1:2" x14ac:dyDescent="0.45">
      <c r="A78" s="1">
        <v>43769</v>
      </c>
      <c r="B78">
        <f>5.5</f>
        <v>5.5</v>
      </c>
    </row>
    <row r="79" spans="1:2" x14ac:dyDescent="0.45">
      <c r="A79" s="1">
        <v>43738</v>
      </c>
      <c r="B79">
        <f>5.3</f>
        <v>5.3</v>
      </c>
    </row>
    <row r="80" spans="1:2" x14ac:dyDescent="0.45">
      <c r="A80" s="1">
        <v>43708</v>
      </c>
      <c r="B80">
        <f>5.5</f>
        <v>5.5</v>
      </c>
    </row>
    <row r="81" spans="1:2" x14ac:dyDescent="0.45">
      <c r="A81" s="1">
        <v>43677</v>
      </c>
      <c r="B81">
        <f>5.4</f>
        <v>5.4</v>
      </c>
    </row>
    <row r="82" spans="1:2" x14ac:dyDescent="0.45">
      <c r="A82" s="1">
        <v>43646</v>
      </c>
      <c r="B82">
        <f>5.4</f>
        <v>5.4</v>
      </c>
    </row>
    <row r="83" spans="1:2" x14ac:dyDescent="0.45">
      <c r="A83" s="1">
        <v>43616</v>
      </c>
      <c r="B83">
        <f>5.3</f>
        <v>5.3</v>
      </c>
    </row>
    <row r="84" spans="1:2" x14ac:dyDescent="0.45">
      <c r="A84" s="1">
        <v>43585</v>
      </c>
      <c r="B84">
        <f>4.9</f>
        <v>4.9000000000000004</v>
      </c>
    </row>
    <row r="85" spans="1:2" x14ac:dyDescent="0.45">
      <c r="A85" s="1">
        <v>43555</v>
      </c>
      <c r="B85">
        <f>4.8</f>
        <v>4.8</v>
      </c>
    </row>
    <row r="86" spans="1:2" x14ac:dyDescent="0.45">
      <c r="A86" s="1">
        <v>43524</v>
      </c>
      <c r="B86">
        <f>4.8</f>
        <v>4.8</v>
      </c>
    </row>
    <row r="87" spans="1:2" x14ac:dyDescent="0.45">
      <c r="A87" s="1">
        <v>43496</v>
      </c>
      <c r="B87">
        <f>5.2</f>
        <v>5.2</v>
      </c>
    </row>
    <row r="88" spans="1:2" x14ac:dyDescent="0.45">
      <c r="A88" s="1">
        <v>43465</v>
      </c>
      <c r="B88">
        <f>5.3</f>
        <v>5.3</v>
      </c>
    </row>
    <row r="89" spans="1:2" x14ac:dyDescent="0.45">
      <c r="A89" s="1">
        <v>43434</v>
      </c>
      <c r="B89">
        <f>5.3</f>
        <v>5.3</v>
      </c>
    </row>
    <row r="90" spans="1:2" x14ac:dyDescent="0.45">
      <c r="A90" s="1">
        <v>43404</v>
      </c>
      <c r="B90">
        <f>5.3</f>
        <v>5.3</v>
      </c>
    </row>
    <row r="91" spans="1:2" x14ac:dyDescent="0.45">
      <c r="A91" s="1">
        <v>43373</v>
      </c>
      <c r="B91">
        <f>6.1</f>
        <v>6.1</v>
      </c>
    </row>
    <row r="92" spans="1:2" x14ac:dyDescent="0.45">
      <c r="A92" s="1">
        <v>43343</v>
      </c>
      <c r="B92">
        <f>6</f>
        <v>6</v>
      </c>
    </row>
    <row r="93" spans="1:2" x14ac:dyDescent="0.45">
      <c r="A93" s="1">
        <v>43312</v>
      </c>
      <c r="B93">
        <f>5.9</f>
        <v>5.9</v>
      </c>
    </row>
    <row r="94" spans="1:2" x14ac:dyDescent="0.45">
      <c r="A94" s="1">
        <v>43281</v>
      </c>
      <c r="B94">
        <f>5.9</f>
        <v>5.9</v>
      </c>
    </row>
    <row r="95" spans="1:2" x14ac:dyDescent="0.45">
      <c r="A95" s="1">
        <v>43251</v>
      </c>
      <c r="B95">
        <f>6.2</f>
        <v>6.2</v>
      </c>
    </row>
    <row r="96" spans="1:2" x14ac:dyDescent="0.45">
      <c r="A96" s="1">
        <v>43220</v>
      </c>
      <c r="B96">
        <f>6.5</f>
        <v>6.5</v>
      </c>
    </row>
    <row r="97" spans="1:2" x14ac:dyDescent="0.45">
      <c r="A97" s="1">
        <v>43190</v>
      </c>
      <c r="B97">
        <f>6.6</f>
        <v>6.6</v>
      </c>
    </row>
    <row r="98" spans="1:2" x14ac:dyDescent="0.45">
      <c r="A98" s="1">
        <v>43159</v>
      </c>
      <c r="B98">
        <f>6.5</f>
        <v>6.5</v>
      </c>
    </row>
    <row r="99" spans="1:2" x14ac:dyDescent="0.45">
      <c r="A99" s="1">
        <v>43131</v>
      </c>
      <c r="B99">
        <f>6.8</f>
        <v>6.8</v>
      </c>
    </row>
    <row r="100" spans="1:2" x14ac:dyDescent="0.45">
      <c r="A100" s="1">
        <v>43100</v>
      </c>
      <c r="B100">
        <f>7.1</f>
        <v>7.1</v>
      </c>
    </row>
    <row r="101" spans="1:2" x14ac:dyDescent="0.45">
      <c r="A101" s="1">
        <v>43069</v>
      </c>
      <c r="B101">
        <f>7.3</f>
        <v>7.3</v>
      </c>
    </row>
    <row r="102" spans="1:2" x14ac:dyDescent="0.45">
      <c r="A102" s="1">
        <v>43039</v>
      </c>
      <c r="B102">
        <f>7.7</f>
        <v>7.7</v>
      </c>
    </row>
    <row r="103" spans="1:2" x14ac:dyDescent="0.45">
      <c r="A103" s="1">
        <v>43008</v>
      </c>
      <c r="B103">
        <f>7.1</f>
        <v>7.1</v>
      </c>
    </row>
    <row r="104" spans="1:2" x14ac:dyDescent="0.45">
      <c r="A104" s="1">
        <v>42978</v>
      </c>
      <c r="B104">
        <f>7</f>
        <v>7</v>
      </c>
    </row>
    <row r="105" spans="1:2" x14ac:dyDescent="0.45">
      <c r="A105" s="1">
        <v>42947</v>
      </c>
      <c r="B105">
        <f>7.1</f>
        <v>7.1</v>
      </c>
    </row>
    <row r="106" spans="1:2" x14ac:dyDescent="0.45">
      <c r="A106" s="1">
        <v>42916</v>
      </c>
      <c r="B106">
        <f>7.5</f>
        <v>7.5</v>
      </c>
    </row>
    <row r="107" spans="1:2" x14ac:dyDescent="0.45">
      <c r="A107" s="1">
        <v>42886</v>
      </c>
      <c r="B107">
        <f>7.5</f>
        <v>7.5</v>
      </c>
    </row>
    <row r="108" spans="1:2" x14ac:dyDescent="0.45">
      <c r="A108" s="1">
        <v>42855</v>
      </c>
      <c r="B108">
        <f>7.5</f>
        <v>7.5</v>
      </c>
    </row>
    <row r="109" spans="1:2" x14ac:dyDescent="0.45">
      <c r="A109" s="1">
        <v>42825</v>
      </c>
      <c r="B109">
        <f>7.7</f>
        <v>7.7</v>
      </c>
    </row>
    <row r="110" spans="1:2" x14ac:dyDescent="0.45">
      <c r="A110" s="1">
        <v>42794</v>
      </c>
      <c r="B110">
        <f>7.8</f>
        <v>7.8</v>
      </c>
    </row>
    <row r="111" spans="1:2" x14ac:dyDescent="0.45">
      <c r="A111" s="1">
        <v>42766</v>
      </c>
      <c r="B111">
        <f>7.9</f>
        <v>7.9</v>
      </c>
    </row>
    <row r="112" spans="1:2" x14ac:dyDescent="0.45">
      <c r="A112" s="1">
        <v>42735</v>
      </c>
      <c r="B112">
        <f>8.5</f>
        <v>8.5</v>
      </c>
    </row>
    <row r="113" spans="1:2" x14ac:dyDescent="0.45">
      <c r="A113" s="1">
        <v>42704</v>
      </c>
      <c r="B113">
        <f>8.7</f>
        <v>8.6999999999999993</v>
      </c>
    </row>
    <row r="114" spans="1:2" x14ac:dyDescent="0.45">
      <c r="A114" s="1">
        <v>42674</v>
      </c>
      <c r="B114">
        <f>11.5</f>
        <v>11.5</v>
      </c>
    </row>
    <row r="115" spans="1:2" x14ac:dyDescent="0.45">
      <c r="A115" s="1">
        <v>42643</v>
      </c>
      <c r="B115">
        <f>16.6</f>
        <v>16.600000000000001</v>
      </c>
    </row>
    <row r="116" spans="1:2" x14ac:dyDescent="0.45">
      <c r="A116" s="1">
        <v>42613</v>
      </c>
      <c r="B116">
        <f>17.6</f>
        <v>17.600000000000001</v>
      </c>
    </row>
    <row r="117" spans="1:2" x14ac:dyDescent="0.45">
      <c r="A117" s="1">
        <v>42582</v>
      </c>
      <c r="B117">
        <f>17.7</f>
        <v>17.7</v>
      </c>
    </row>
    <row r="118" spans="1:2" x14ac:dyDescent="0.45">
      <c r="A118" s="1">
        <v>42551</v>
      </c>
      <c r="B118">
        <f>17.3</f>
        <v>17.3</v>
      </c>
    </row>
    <row r="119" spans="1:2" x14ac:dyDescent="0.45">
      <c r="A119" s="1">
        <v>42521</v>
      </c>
      <c r="B119">
        <f>16.7</f>
        <v>16.7</v>
      </c>
    </row>
    <row r="120" spans="1:2" x14ac:dyDescent="0.45">
      <c r="A120" s="1">
        <v>42490</v>
      </c>
      <c r="B120">
        <f>16.3</f>
        <v>16.3</v>
      </c>
    </row>
    <row r="121" spans="1:2" x14ac:dyDescent="0.45">
      <c r="A121" s="1">
        <v>42460</v>
      </c>
      <c r="B121">
        <f>15.7</f>
        <v>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Zhorabek, Dinara</cp:lastModifiedBy>
  <dcterms:created xsi:type="dcterms:W3CDTF">2013-04-03T15:49:21Z</dcterms:created>
  <dcterms:modified xsi:type="dcterms:W3CDTF">2026-03-27T16:19:05Z</dcterms:modified>
</cp:coreProperties>
</file>